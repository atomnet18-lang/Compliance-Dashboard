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คำแนะนำ" sheetId="1" state="visible" r:id="rId3"/>
    <sheet name="บันทึกผล" sheetId="2" state="visible" r:id="rId4"/>
    <sheet name="สรุปการคำนวณ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<sst xmlns="http://schemas.openxmlformats.org/spreadsheetml/2006/main" count="150" uniqueCount="102">
  <si>
    <t xml:space="preserve">แบบฟอร์มบันทึกผลการดำเนินงานแผนงาน Compliance ประจำปี 2569</t>
  </si>
  <si>
    <t xml:space="preserve">วิธีใช้งานสำหรับผู้ปฏิบัติงาน</t>
  </si>
  <si>
    <t xml:space="preserve">1) ไปที่แท็บ "บันทึกผล" — มีแผนเดียว แบ่งเป็น 5 ขั้นตอน (แถบสีฟ้าคั่นแต่ละขั้น)</t>
  </si>
  <si>
    <t xml:space="preserve">2) บันทึกเฉพาะ "ช่องสีเหลือง" (ผลจริงรายเดือน ม.ค.69–มี.ค.70) เป็นค่าร้อยละสะสม 0–100</t>
  </si>
  <si>
    <t xml:space="preserve">3) คอลัมน์ "เริ่มตามแผน / สิ้นสุดตามแผน" (สีเทา) = ช่วงเวลาตามแผน ระบบใช้คำนวณ % เป้าหมาย</t>
  </si>
  <si>
    <t xml:space="preserve">    โดยถัวเฉลี่ยถ่วงน้ำหนัก (กระจายเท่ากันทุกเดือน) ตั้งแต่เดือนเริ่ม จนถึงเดือนสิ้นสุด = 100%</t>
  </si>
  <si>
    <t xml:space="preserve">4) ห้ามแก้คอลัมน์สีเทา (น้ำหนัก / เริ่ม-สิ้นสุดตามแผน) ซึ่งกำหนดตามแผนที่อนุมัติแล้ว</t>
  </si>
  <si>
    <t xml:space="preserve">5) กรอกปัญหา/อุปสรรค (ใช้ภายใน ไม่เผยแพร่) และ "สิ่งที่ดำเนินการ" รายเดือน (แสดงบน Dashboard)</t>
  </si>
  <si>
    <t xml:space="preserve">6) บันทึกไฟล์ แล้วรัน build_data.py (หรือดับเบิลคลิก อัปเดตข้อมูล.command) เพื่อสร้าง data.json</t>
  </si>
  <si>
    <t xml:space="preserve">หมายเหตุ: ห้ามเปลี่ยนชื่อชีต "บันทึกผล" และห้ามแก้หัวตาราง</t>
  </si>
  <si>
    <t xml:space="preserve">ตัวชี้วัด: การกำกับดูแลการปฏิบัติตามกฎ ระเบียบของ กฟน. เป็นไปตามแผนที่กำหนด   |   ผู้รับผิดชอบหลัก: ฝ่ายบริหารความเสี่ยงองค์กร (ฝบส.)</t>
  </si>
  <si>
    <t xml:space="preserve">ลำดับ</t>
  </si>
  <si>
    <t xml:space="preserve">กิจกรรม</t>
  </si>
  <si>
    <t xml:space="preserve">หน่วยงาน</t>
  </si>
  <si>
    <t xml:space="preserve">น้ำหนัก</t>
  </si>
  <si>
    <t xml:space="preserve">เริ่มตามแผน</t>
  </si>
  <si>
    <t xml:space="preserve">สิ้นสุดตามแผน</t>
  </si>
  <si>
    <t xml:space="preserve">ม.ค.69</t>
  </si>
  <si>
    <t xml:space="preserve">ก.พ.69</t>
  </si>
  <si>
    <t xml:space="preserve">มี.ค.69</t>
  </si>
  <si>
    <t xml:space="preserve">เม.ย.69</t>
  </si>
  <si>
    <t xml:space="preserve">พ.ค.69</t>
  </si>
  <si>
    <t xml:space="preserve">มิ.ย.69</t>
  </si>
  <si>
    <t xml:space="preserve">ก.ค.69</t>
  </si>
  <si>
    <t xml:space="preserve">ส.ค.69</t>
  </si>
  <si>
    <t xml:space="preserve">ก.ย.69</t>
  </si>
  <si>
    <t xml:space="preserve">ต.ค.69</t>
  </si>
  <si>
    <t xml:space="preserve">พ.ย.69</t>
  </si>
  <si>
    <t xml:space="preserve">ธ.ค.69</t>
  </si>
  <si>
    <t xml:space="preserve">ม.ค.70</t>
  </si>
  <si>
    <t xml:space="preserve">ก.พ.70</t>
  </si>
  <si>
    <t xml:space="preserve">มี.ค.70</t>
  </si>
  <si>
    <t xml:space="preserve">ปัญหา/อุปสรรค (ใช้ภายใน)</t>
  </si>
  <si>
    <t xml:space="preserve">สิ่งที่ดำเนินการ ม.ค.69</t>
  </si>
  <si>
    <t xml:space="preserve">สิ่งที่ดำเนินการ ก.พ.69</t>
  </si>
  <si>
    <t xml:space="preserve">สิ่งที่ดำเนินการ มี.ค.69</t>
  </si>
  <si>
    <t xml:space="preserve">สิ่งที่ดำเนินการ เม.ย.69</t>
  </si>
  <si>
    <t xml:space="preserve">สิ่งที่ดำเนินการ พ.ค.69</t>
  </si>
  <si>
    <t xml:space="preserve">สิ่งที่ดำเนินการ มิ.ย.69</t>
  </si>
  <si>
    <t xml:space="preserve">สิ่งที่ดำเนินการ ก.ค.69</t>
  </si>
  <si>
    <t xml:space="preserve">สิ่งที่ดำเนินการ ส.ค.69</t>
  </si>
  <si>
    <t xml:space="preserve">สิ่งที่ดำเนินการ ก.ย.69</t>
  </si>
  <si>
    <t xml:space="preserve">สิ่งที่ดำเนินการ ต.ค.69</t>
  </si>
  <si>
    <t xml:space="preserve">สิ่งที่ดำเนินการ พ.ย.69</t>
  </si>
  <si>
    <t xml:space="preserve">สิ่งที่ดำเนินการ ธ.ค.69</t>
  </si>
  <si>
    <t xml:space="preserve">สิ่งที่ดำเนินการ ม.ค.70</t>
  </si>
  <si>
    <t xml:space="preserve">สิ่งที่ดำเนินการ ก.พ.70</t>
  </si>
  <si>
    <t xml:space="preserve">สิ่งที่ดำเนินการ มี.ค.70</t>
  </si>
  <si>
    <t xml:space="preserve">กิจกรรมที่ 1 · ทบทวนและปรับปรุงทะเบียนกฎหมาย กฎ ระเบียบที่สำคัญที่เกี่ยวข้องกับการดำเนินงาน</t>
  </si>
  <si>
    <t xml:space="preserve">1.1</t>
  </si>
  <si>
    <t xml:space="preserve">รวบรวม ศึกษา วิเคราะห์กฎหมาย กฎ ระเบียบที่สำคัญที่เกี่ยวข้องกับการดำเนินงาน</t>
  </si>
  <si>
    <t xml:space="preserve">ทุกหน่วยงาน</t>
  </si>
  <si>
    <t xml:space="preserve">1.2</t>
  </si>
  <si>
    <t xml:space="preserve">ปรับปรุงทะเบียนกฎหมาย กฎ ระเบียบที่สำคัญที่เกี่ยวข้องกับการดำเนินงาน (Compliance Universe)</t>
  </si>
  <si>
    <t xml:space="preserve">1.3</t>
  </si>
  <si>
    <t xml:space="preserve">ปรับปรุงระเบียบ ข้อบังคับ คำสั่ง นโยบาย มาตรฐานการปฏิบัติงานให้สอดคล้องกับกฎหมาย กฎ ระเบียบที่เกี่ยวข้องที่ปรับปรุงหรือเป็นเรื่องใหม่</t>
  </si>
  <si>
    <t xml:space="preserve">ฝกม. / ทุกหน่วยงาน</t>
  </si>
  <si>
    <t xml:space="preserve">กิจกรรมที่ 2 · ระบุและประเมินปัจจัยความเสี่ยงที่อาจมีผลกระทบต่อองค์กรที่ทำให้ไม่สามารถปฏิบัติตามกฎ ระเบียบ และพิจารณากำหนด/ปรับปรุงการควบคุม</t>
  </si>
  <si>
    <t xml:space="preserve">2.1</t>
  </si>
  <si>
    <t xml:space="preserve">วิเคราะห์สาเหตุและผลกระทบ และประเมินความเสี่ยงจากการไม่สามารถปฏิบัติตามกฎ ระเบียบ</t>
  </si>
  <si>
    <t xml:space="preserve">ฝบส. / หน่วยงานที่เกี่ยวข้อง</t>
  </si>
  <si>
    <t xml:space="preserve">2.2</t>
  </si>
  <si>
    <t xml:space="preserve">สรุปรายการ Compliance Risk ที่สำคัญที่ต้องกำหนด/ปรับปรุงการควบคุม</t>
  </si>
  <si>
    <t xml:space="preserve">ฝบส.</t>
  </si>
  <si>
    <t xml:space="preserve">2.3</t>
  </si>
  <si>
    <t xml:space="preserve">จัดวาง/ทบทวนระบบการควบคุมภายในของกระบวนงานพื้นฐานและกระบวนงานตามภารกิจของทุกหน่วยงาน</t>
  </si>
  <si>
    <t xml:space="preserve">กิจกรรมที่ 3 · สื่อสารความรู้ สร้างความตระหนัก และพัฒนาบุคลากร</t>
  </si>
  <si>
    <t xml:space="preserve">3.1</t>
  </si>
  <si>
    <t xml:space="preserve">สื่อสาร อบรม เพื่อสร้างความรู้ความเข้าใจและความตระหนักเกี่ยวกับนโยบาย กรอบและแนวทางการปฏิบัติตามกฎ ระเบียบ</t>
  </si>
  <si>
    <t xml:space="preserve">ฝบส. / ฝสอ.</t>
  </si>
  <si>
    <t xml:space="preserve">3.2</t>
  </si>
  <si>
    <t xml:space="preserve">สื่อสาร อบรม เกี่ยวกับกฎหมาย กฎ ระเบียบที่เกี่ยวข้องที่ปรับปรุงหรือเป็นเรื่องใหม่</t>
  </si>
  <si>
    <t xml:space="preserve">3.3</t>
  </si>
  <si>
    <t xml:space="preserve">ประสานงาน ให้คำปรึกษาแนะนำหน่วยงาน เพื่อทบทวนการดำเนินงานให้สอดคล้องกับกฎหมาย กฎ ระเบียบที่เกี่ยวข้องที่ปรับปรุงหรือเป็นเรื่องใหม่</t>
  </si>
  <si>
    <t xml:space="preserve">ฝบส. / ฝกม.</t>
  </si>
  <si>
    <t xml:space="preserve">กิจกรรมที่ 4 · สอบทานและประเมินการปฏิบัติตามกฎ ระเบียบ</t>
  </si>
  <si>
    <t xml:space="preserve">4.1</t>
  </si>
  <si>
    <t xml:space="preserve">สอบทานการปฏิบัติตามกฎระเบียบด้วยตนเองในทุกกระบวนงานที่ได้จัดวางระบบการควบคุมภายในไว้</t>
  </si>
  <si>
    <t xml:space="preserve">4.2</t>
  </si>
  <si>
    <t xml:space="preserve">สอบทานการปฏิบัติตามกฎระเบียบในกระบวนการปฏิบัติงานที่มีความเสี่ยงที่อาจทำให้ไม่สามารถปฏิบัติตามกฎ ระเบียบ และสรุปรายงานผลการสอบทานฯ</t>
  </si>
  <si>
    <t xml:space="preserve">4.3</t>
  </si>
  <si>
    <t xml:space="preserve">ประเมินการปฏิบัติตามกฎระเบียบด้วยตนเอง (Compliance Self-Assessment)</t>
  </si>
  <si>
    <t xml:space="preserve">ทุกสายงาน / ทุกหน่วยงาน</t>
  </si>
  <si>
    <t xml:space="preserve">4.4</t>
  </si>
  <si>
    <t xml:space="preserve">นำผลประเมินมาปรับปรุงการปฏิบัติงานเพื่อให้เป็นไปตามกฎหมาย กฎ ระเบียบ</t>
  </si>
  <si>
    <t xml:space="preserve">กิจกรรมที่ 5 · ทบทวนและนำเสนอผลการทบทวนนโยบาย แนวทางการปฏิบัติ และแผนงานประจำปี ต่อคณะกรรมการที่เกี่ยวข้อง</t>
  </si>
  <si>
    <t xml:space="preserve">5.1</t>
  </si>
  <si>
    <t xml:space="preserve">ทบทวน/ปรับปรุงนโยบาย กรอบแนวทางการกำกับดูแล และแนวทางการปฏิบัติตามกฎ ระเบียบ ของ กฟน. (Compliance Policy, Framework and Guidance) รวมทั้งแผนการกำกับดูแลฯ เสนอต่อคณะกรรมการที่เกี่ยวข้อง</t>
  </si>
  <si>
    <t xml:space="preserve">5.2</t>
  </si>
  <si>
    <t xml:space="preserve">จัดทำและรายงานการปฏิบัติตามกฎระเบียบ ประจำปี</t>
  </si>
  <si>
    <t xml:space="preserve">เดือนที่ประเมิน :</t>
  </si>
  <si>
    <t xml:space="preserve">ตำแหน่งเดือน (คำนวณ) :</t>
  </si>
  <si>
    <t xml:space="preserve">ขั้น</t>
  </si>
  <si>
    <t xml:space="preserve">รหัส</t>
  </si>
  <si>
    <t xml:space="preserve">จำนวนเดือน</t>
  </si>
  <si>
    <t xml:space="preserve">เป้าหมายสะสม %</t>
  </si>
  <si>
    <t xml:space="preserve">ผลจริงสะสม %</t>
  </si>
  <si>
    <t xml:space="preserve">ผลต่าง</t>
  </si>
  <si>
    <t xml:space="preserve">สถานะ</t>
  </si>
  <si>
    <t xml:space="preserve">สรุปรายขั้น (ถ่วงน้ำหนัก)</t>
  </si>
  <si>
    <t xml:space="preserve">กิจกรรมที่</t>
  </si>
  <si>
    <t xml:space="preserve">รวมทั้งแผน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</si>
</sst>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2275E"/>
      <name val="TH Sarabun New"/>
      <family val="0"/>
      <charset val="1"/>
    </font>
    <font>
      <sz val="14"/>
      <color rgb="FF1B2433"/>
      <name val="TH Sarabun New"/>
      <family val="0"/>
      <charset val="1"/>
    </font>
    <font>
      <b val="true"/>
      <sz val="15"/>
      <color rgb="FF02275E"/>
      <name val="TH Sarabun New"/>
      <family val="0"/>
      <charset val="1"/>
    </font>
    <font>
      <sz val="12"/>
      <color rgb="FF5E6B80"/>
      <name val="TH Sarabun New"/>
      <family val="0"/>
      <charset val="1"/>
    </font>
    <font>
      <b val="true"/>
      <sz val="13"/>
      <color rgb="FFFFFFFF"/>
      <name val="TH Sarabun New"/>
      <family val="0"/>
      <charset val="1"/>
    </font>
    <font>
      <b val="true"/>
      <sz val="13"/>
      <color rgb="FF02275E"/>
      <name val="TH Sarabun New"/>
      <family val="0"/>
      <charset val="1"/>
    </font>
    <font>
      <sz val="13"/>
      <name val="TH Sarabun New"/>
      <family val="0"/>
      <charset val="1"/>
    </font>
    <font>
      <b val="true"/>
      <sz val="14"/>
      <color rgb="FF006B3F"/>
      <name val="TH Sarabun New"/>
      <family val="0"/>
      <charset val="1"/>
    </font>
    <font>
      <b val="true"/>
      <sz val="14"/>
      <name val="TH Sarabun New"/>
      <family val="0"/>
      <charset val="1"/>
    </font>
    <font>
      <sz val="11"/>
      <color rgb="FF5E6F68"/>
      <name val="TH Sarabun New"/>
      <family val="0"/>
      <charset val="1"/>
    </font>
    <font>
      <b val="true"/>
      <sz val="12"/>
      <color rgb="FFFFFFFF"/>
      <name val="TH Sarabun New"/>
      <family val="0"/>
      <charset val="1"/>
    </font>
    <font>
      <sz val="12"/>
      <name val="TH Sarabun New"/>
      <family val="0"/>
      <charset val="1"/>
    </font>
    <font>
      <b val="true"/>
      <sz val="13"/>
      <color rgb="FF006B3F"/>
      <name val="TH Sarabun New"/>
      <family val="0"/>
      <charset val="1"/>
    </font>
    <font>
      <b val="true"/>
      <sz val="12"/>
      <color rgb="FF006B3F"/>
      <name val="TH Sarabun New"/>
      <family val="0"/>
      <charset val="1"/>
    </font>
    <font>
      <b val="true"/>
      <sz val="12"/>
      <name val="TH Sarabun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2275E"/>
        <bgColor rgb="FF1B2433"/>
      </patternFill>
    </fill>
    <fill>
      <patternFill patternType="solid">
        <fgColor rgb="FFE8A020"/>
        <bgColor rgb="FFFFCC00"/>
      </patternFill>
    </fill>
    <fill>
      <patternFill patternType="solid">
        <fgColor rgb="FFEAF0F9"/>
        <bgColor rgb="FFEEF2F0"/>
      </patternFill>
    </fill>
    <fill>
      <patternFill patternType="solid">
        <fgColor rgb="FFF2F4F8"/>
        <bgColor rgb="FFEEF2F0"/>
      </patternFill>
    </fill>
    <fill>
      <patternFill patternType="solid">
        <fgColor rgb="FFFFF6E3"/>
        <bgColor rgb="FFF2F4F8"/>
      </patternFill>
    </fill>
    <fill>
      <patternFill patternType="solid">
        <fgColor rgb="FF006B3F"/>
        <bgColor rgb="FF008080"/>
      </patternFill>
    </fill>
    <fill>
      <patternFill patternType="solid">
        <fgColor rgb="FFE6F2EC"/>
        <bgColor rgb="FFEEF2F0"/>
      </patternFill>
    </fill>
    <fill>
      <patternFill patternType="solid">
        <fgColor rgb="FFEEF2F0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FE0D6"/>
      </left>
      <right style="thin">
        <color rgb="FFCFE0D6"/>
      </right>
      <top style="thin">
        <color rgb="FFCFE0D6"/>
      </top>
      <bottom style="thin">
        <color rgb="FFCFE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B3F"/>
      <rgbColor rgb="FF000080"/>
      <rgbColor rgb="FF808000"/>
      <rgbColor rgb="FF800080"/>
      <rgbColor rgb="FF008080"/>
      <rgbColor rgb="FFC0C0C0"/>
      <rgbColor rgb="FF5E6F68"/>
      <rgbColor rgb="FF9999FF"/>
      <rgbColor rgb="FF993366"/>
      <rgbColor rgb="FFFFF6E3"/>
      <rgbColor rgb="FFE6F2EC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9"/>
      <rgbColor rgb="FFCFE0D6"/>
      <rgbColor rgb="FFEEF2F0"/>
      <rgbColor rgb="FF99CCFF"/>
      <rgbColor rgb="FFFF99CC"/>
      <rgbColor rgb="FFCC99FF"/>
      <rgbColor rgb="FFF2F4F8"/>
      <rgbColor rgb="FF3366FF"/>
      <rgbColor rgb="FF33CCCC"/>
      <rgbColor rgb="FF99CC00"/>
      <rgbColor rgb="FFFFCC00"/>
      <rgbColor rgb="FFE8A020"/>
      <rgbColor rgb="FFFF6600"/>
      <rgbColor rgb="FF5E6B80"/>
      <rgbColor rgb="FF969696"/>
      <rgbColor rgb="FF02275E"/>
      <rgbColor rgb="FF339966"/>
      <rgbColor rgb="FF003300"/>
      <rgbColor rgb="FF333300"/>
      <rgbColor rgb="FF993300"/>
      <rgbColor rgb="FF993366"/>
      <rgbColor rgb="FF333399"/>
      <rgbColor rgb="FF1B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5"/>
  </cols>
  <sheetData>
    <row r="2" customFormat="false" ht="21" hidden="false" customHeight="true" outlineLevel="0" collapsed="false">
      <c r="B2" s="2" t="s">
        <v>0</v>
      </c>
    </row>
    <row r="3" customFormat="false" ht="18" hidden="false" customHeight="true" outlineLevel="0" collapsed="false">
      <c r="B3" s="3"/>
    </row>
    <row r="4" customFormat="false" ht="21" hidden="false" customHeight="true" outlineLevel="0" collapsed="false">
      <c r="B4" s="2" t="s">
        <v>1</v>
      </c>
    </row>
    <row r="5" customFormat="false" ht="18" hidden="false" customHeight="true" outlineLevel="0" collapsed="false">
      <c r="B5" s="3" t="s">
        <v>2</v>
      </c>
    </row>
    <row r="6" customFormat="false" ht="18" hidden="false" customHeight="true" outlineLevel="0" collapsed="false">
      <c r="B6" s="3" t="s">
        <v>3</v>
      </c>
    </row>
    <row r="7" customFormat="false" ht="18" hidden="false" customHeight="true" outlineLevel="0" collapsed="false">
      <c r="B7" s="3" t="s">
        <v>4</v>
      </c>
    </row>
    <row r="8" customFormat="false" ht="18" hidden="false" customHeight="true" outlineLevel="0" collapsed="false">
      <c r="B8" s="3" t="s">
        <v>5</v>
      </c>
    </row>
    <row r="9" customFormat="false" ht="18" hidden="false" customHeight="true" outlineLevel="0" collapsed="false">
      <c r="B9" s="3" t="s">
        <v>6</v>
      </c>
    </row>
    <row r="10" customFormat="false" ht="18" hidden="false" customHeight="true" outlineLevel="0" collapsed="false">
      <c r="B10" s="3" t="s">
        <v>7</v>
      </c>
    </row>
    <row r="11" customFormat="false" ht="18" hidden="false" customHeight="true" outlineLevel="0" collapsed="false">
      <c r="B11" s="3" t="s">
        <v>8</v>
      </c>
    </row>
    <row r="12" customFormat="false" ht="18" hidden="false" customHeight="true" outlineLevel="0" collapsed="false">
      <c r="B12" s="3"/>
    </row>
    <row r="13" customFormat="false" ht="18" hidden="false" customHeight="true" outlineLevel="0" collapsed="false">
      <c r="B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4"/>
  <sheetViews>
    <sheetView showFormulas="false" showGridLines="true" showRowColHeaders="true" showZeros="true" rightToLeft="false" tabSelected="true" showOutlineSymbols="true" defaultGridColor="true" view="normal" topLeftCell="A1" colorId="64" zoomScale="64" zoomScaleNormal="64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V15" activeCellId="0" sqref="V1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21" min="7" style="1" width="7"/>
    <col collapsed="false" customWidth="true" hidden="false" outlineLevel="0" max="22" min="22" style="1" width="24"/>
    <col collapsed="false" customWidth="true" hidden="false" outlineLevel="0" max="37" min="23" style="1" width="18"/>
  </cols>
  <sheetData>
    <row r="1" customFormat="false" ht="18.75" hidden="false" customHeight="true" outlineLevel="0" collapsed="false">
      <c r="A1" s="4" t="s">
        <v>0</v>
      </c>
    </row>
    <row r="2" customFormat="false" ht="15.75" hidden="false" customHeight="true" outlineLevel="0" collapsed="false">
      <c r="A2" s="5" t="s">
        <v>10</v>
      </c>
    </row>
    <row r="4" customFormat="false" ht="31.5" hidden="false" customHeight="true" outlineLevel="0" collapsed="false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28</v>
      </c>
      <c r="S4" s="7" t="s">
        <v>29</v>
      </c>
      <c r="T4" s="7" t="s">
        <v>30</v>
      </c>
      <c r="U4" s="7" t="s">
        <v>31</v>
      </c>
      <c r="V4" s="6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37</v>
      </c>
      <c r="AB4" s="6" t="s">
        <v>38</v>
      </c>
      <c r="AC4" s="6" t="s">
        <v>39</v>
      </c>
      <c r="AD4" s="6" t="s">
        <v>40</v>
      </c>
      <c r="AE4" s="6" t="s">
        <v>41</v>
      </c>
      <c r="AF4" s="6" t="s">
        <v>42</v>
      </c>
      <c r="AG4" s="6" t="s">
        <v>43</v>
      </c>
      <c r="AH4" s="6" t="s">
        <v>44</v>
      </c>
      <c r="AI4" s="6" t="s">
        <v>45</v>
      </c>
      <c r="AJ4" s="6" t="s">
        <v>46</v>
      </c>
      <c r="AK4" s="6" t="s">
        <v>47</v>
      </c>
    </row>
    <row r="5" customFormat="false" ht="21.75" hidden="false" customHeight="true" outlineLevel="0" collapsed="false">
      <c r="A5" s="8" t="s">
        <v>48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customFormat="false" ht="36" hidden="false" customHeight="true" outlineLevel="0" collapsed="false">
      <c r="A6" s="9" t="s">
        <v>49</v>
      </c>
      <c r="B6" s="10" t="s">
        <v>50</v>
      </c>
      <c r="C6" s="10" t="s">
        <v>51</v>
      </c>
      <c r="D6" s="11" t="n">
        <v>34</v>
      </c>
      <c r="E6" s="11" t="s">
        <v>17</v>
      </c>
      <c r="F6" s="11" t="s">
        <v>29</v>
      </c>
      <c r="G6" s="12" t="n">
        <v>8</v>
      </c>
      <c r="H6" s="12" t="n">
        <v>15</v>
      </c>
      <c r="I6" s="12" t="n">
        <v>23</v>
      </c>
      <c r="J6" s="12" t="n">
        <v>31</v>
      </c>
      <c r="K6" s="12" t="n">
        <v>38</v>
      </c>
      <c r="L6" s="12" t="n">
        <v>46</v>
      </c>
      <c r="M6" s="12" t="n">
        <v>54</v>
      </c>
      <c r="N6" s="12" t="n">
        <v>62</v>
      </c>
      <c r="O6" s="12" t="n">
        <v>69</v>
      </c>
      <c r="P6" s="12" t="n">
        <v>77</v>
      </c>
      <c r="Q6" s="12"/>
      <c r="R6" s="12"/>
      <c r="S6" s="12"/>
      <c r="T6" s="12"/>
      <c r="U6" s="12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customFormat="false" ht="36" hidden="false" customHeight="true" outlineLevel="0" collapsed="false">
      <c r="A7" s="9" t="s">
        <v>52</v>
      </c>
      <c r="B7" s="10" t="s">
        <v>53</v>
      </c>
      <c r="C7" s="10" t="s">
        <v>51</v>
      </c>
      <c r="D7" s="11" t="n">
        <v>33</v>
      </c>
      <c r="E7" s="11" t="s">
        <v>17</v>
      </c>
      <c r="F7" s="11" t="s">
        <v>28</v>
      </c>
      <c r="G7" s="12" t="n">
        <v>8</v>
      </c>
      <c r="H7" s="12" t="n">
        <v>17</v>
      </c>
      <c r="I7" s="12" t="n">
        <v>25</v>
      </c>
      <c r="J7" s="12" t="n">
        <v>33</v>
      </c>
      <c r="K7" s="12" t="n">
        <v>42</v>
      </c>
      <c r="L7" s="12" t="n">
        <v>50</v>
      </c>
      <c r="M7" s="12" t="n">
        <v>58</v>
      </c>
      <c r="N7" s="12" t="n">
        <v>67</v>
      </c>
      <c r="O7" s="12" t="n">
        <v>75</v>
      </c>
      <c r="P7" s="12" t="n">
        <v>83</v>
      </c>
      <c r="Q7" s="12"/>
      <c r="R7" s="12"/>
      <c r="S7" s="12"/>
      <c r="T7" s="12"/>
      <c r="U7" s="12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customFormat="false" ht="54" hidden="false" customHeight="true" outlineLevel="0" collapsed="false">
      <c r="A8" s="9" t="s">
        <v>54</v>
      </c>
      <c r="B8" s="10" t="s">
        <v>55</v>
      </c>
      <c r="C8" s="10" t="s">
        <v>56</v>
      </c>
      <c r="D8" s="11" t="n">
        <v>33</v>
      </c>
      <c r="E8" s="11" t="s">
        <v>17</v>
      </c>
      <c r="F8" s="11" t="s">
        <v>28</v>
      </c>
      <c r="G8" s="12" t="n">
        <v>8</v>
      </c>
      <c r="H8" s="12" t="n">
        <v>17</v>
      </c>
      <c r="I8" s="12" t="n">
        <v>25</v>
      </c>
      <c r="J8" s="12" t="n">
        <v>33</v>
      </c>
      <c r="K8" s="12" t="n">
        <v>42</v>
      </c>
      <c r="L8" s="12" t="n">
        <v>50</v>
      </c>
      <c r="M8" s="12" t="n">
        <v>58</v>
      </c>
      <c r="N8" s="12" t="n">
        <v>67</v>
      </c>
      <c r="O8" s="12" t="n">
        <v>75</v>
      </c>
      <c r="P8" s="12" t="n">
        <v>83</v>
      </c>
      <c r="Q8" s="12"/>
      <c r="R8" s="12"/>
      <c r="S8" s="12"/>
      <c r="T8" s="12"/>
      <c r="U8" s="12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customFormat="false" ht="21.75" hidden="false" customHeight="true" outlineLevel="0" collapsed="false">
      <c r="A9" s="8" t="s">
        <v>57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customFormat="false" ht="36" hidden="false" customHeight="true" outlineLevel="0" collapsed="false">
      <c r="A10" s="9" t="s">
        <v>58</v>
      </c>
      <c r="B10" s="10" t="s">
        <v>59</v>
      </c>
      <c r="C10" s="10" t="s">
        <v>60</v>
      </c>
      <c r="D10" s="11" t="n">
        <v>34</v>
      </c>
      <c r="E10" s="11" t="s">
        <v>17</v>
      </c>
      <c r="F10" s="11" t="s">
        <v>28</v>
      </c>
      <c r="G10" s="12" t="n">
        <v>8</v>
      </c>
      <c r="H10" s="12" t="n">
        <v>17</v>
      </c>
      <c r="I10" s="12" t="n">
        <v>25</v>
      </c>
      <c r="J10" s="12" t="n">
        <v>33</v>
      </c>
      <c r="K10" s="12" t="n">
        <v>42</v>
      </c>
      <c r="L10" s="12" t="n">
        <v>50</v>
      </c>
      <c r="M10" s="12" t="n">
        <v>58</v>
      </c>
      <c r="N10" s="12" t="n">
        <v>67</v>
      </c>
      <c r="O10" s="12" t="n">
        <v>75</v>
      </c>
      <c r="P10" s="12" t="n">
        <v>83</v>
      </c>
      <c r="Q10" s="12"/>
      <c r="R10" s="12"/>
      <c r="S10" s="12"/>
      <c r="T10" s="12"/>
      <c r="U10" s="12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customFormat="false" ht="36" hidden="false" customHeight="true" outlineLevel="0" collapsed="false">
      <c r="A11" s="9" t="s">
        <v>61</v>
      </c>
      <c r="B11" s="10" t="s">
        <v>62</v>
      </c>
      <c r="C11" s="10" t="s">
        <v>63</v>
      </c>
      <c r="D11" s="11" t="n">
        <v>33</v>
      </c>
      <c r="E11" s="11" t="s">
        <v>17</v>
      </c>
      <c r="F11" s="11" t="s">
        <v>22</v>
      </c>
      <c r="G11" s="12" t="n">
        <v>17</v>
      </c>
      <c r="H11" s="12" t="n">
        <v>33</v>
      </c>
      <c r="I11" s="12" t="n">
        <v>50</v>
      </c>
      <c r="J11" s="12" t="n">
        <v>67</v>
      </c>
      <c r="K11" s="12" t="n">
        <v>83</v>
      </c>
      <c r="L11" s="12" t="n">
        <v>100</v>
      </c>
      <c r="M11" s="12" t="n">
        <v>100</v>
      </c>
      <c r="N11" s="12" t="n">
        <v>100</v>
      </c>
      <c r="O11" s="12" t="n">
        <v>100</v>
      </c>
      <c r="P11" s="12" t="n">
        <v>100</v>
      </c>
      <c r="Q11" s="12"/>
      <c r="R11" s="12"/>
      <c r="S11" s="12"/>
      <c r="T11" s="12"/>
      <c r="U11" s="12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customFormat="false" ht="54" hidden="false" customHeight="true" outlineLevel="0" collapsed="false">
      <c r="A12" s="9" t="s">
        <v>64</v>
      </c>
      <c r="B12" s="10" t="s">
        <v>65</v>
      </c>
      <c r="C12" s="10" t="s">
        <v>60</v>
      </c>
      <c r="D12" s="11" t="n">
        <v>33</v>
      </c>
      <c r="E12" s="11" t="s">
        <v>17</v>
      </c>
      <c r="F12" s="11" t="s">
        <v>28</v>
      </c>
      <c r="G12" s="12" t="n">
        <v>8</v>
      </c>
      <c r="H12" s="12" t="n">
        <v>17</v>
      </c>
      <c r="I12" s="12" t="n">
        <v>25</v>
      </c>
      <c r="J12" s="12" t="n">
        <v>33</v>
      </c>
      <c r="K12" s="12" t="n">
        <v>42</v>
      </c>
      <c r="L12" s="12" t="n">
        <v>50</v>
      </c>
      <c r="M12" s="12" t="n">
        <v>58</v>
      </c>
      <c r="N12" s="12" t="n">
        <v>67</v>
      </c>
      <c r="O12" s="12" t="n">
        <v>75</v>
      </c>
      <c r="P12" s="12" t="n">
        <v>83</v>
      </c>
      <c r="Q12" s="12"/>
      <c r="R12" s="12"/>
      <c r="S12" s="12"/>
      <c r="T12" s="12"/>
      <c r="U12" s="12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customFormat="false" ht="21.75" hidden="false" customHeight="true" outlineLevel="0" collapsed="false">
      <c r="A13" s="8" t="s">
        <v>66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customFormat="false" ht="54" hidden="false" customHeight="true" outlineLevel="0" collapsed="false">
      <c r="A14" s="9" t="s">
        <v>67</v>
      </c>
      <c r="B14" s="10" t="s">
        <v>68</v>
      </c>
      <c r="C14" s="10" t="s">
        <v>69</v>
      </c>
      <c r="D14" s="11" t="n">
        <v>34</v>
      </c>
      <c r="E14" s="11" t="s">
        <v>17</v>
      </c>
      <c r="F14" s="11" t="s">
        <v>29</v>
      </c>
      <c r="G14" s="12" t="n">
        <v>8</v>
      </c>
      <c r="H14" s="12" t="n">
        <v>15</v>
      </c>
      <c r="I14" s="12" t="n">
        <v>23</v>
      </c>
      <c r="J14" s="12" t="n">
        <v>31</v>
      </c>
      <c r="K14" s="12" t="n">
        <v>38</v>
      </c>
      <c r="L14" s="12" t="n">
        <v>46</v>
      </c>
      <c r="M14" s="12" t="n">
        <v>54</v>
      </c>
      <c r="N14" s="12" t="n">
        <v>62</v>
      </c>
      <c r="O14" s="12" t="n">
        <v>69</v>
      </c>
      <c r="P14" s="12" t="n">
        <v>77</v>
      </c>
      <c r="Q14" s="12"/>
      <c r="R14" s="12"/>
      <c r="S14" s="12"/>
      <c r="T14" s="12"/>
      <c r="U14" s="12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customFormat="false" ht="36" hidden="false" customHeight="true" outlineLevel="0" collapsed="false">
      <c r="A15" s="9" t="s">
        <v>70</v>
      </c>
      <c r="B15" s="10" t="s">
        <v>71</v>
      </c>
      <c r="C15" s="10" t="s">
        <v>69</v>
      </c>
      <c r="D15" s="11" t="n">
        <v>33</v>
      </c>
      <c r="E15" s="11" t="s">
        <v>17</v>
      </c>
      <c r="F15" s="11" t="s">
        <v>29</v>
      </c>
      <c r="G15" s="12" t="n">
        <v>8</v>
      </c>
      <c r="H15" s="12" t="n">
        <v>15</v>
      </c>
      <c r="I15" s="12" t="n">
        <v>23</v>
      </c>
      <c r="J15" s="12" t="n">
        <v>31</v>
      </c>
      <c r="K15" s="12" t="n">
        <v>38</v>
      </c>
      <c r="L15" s="12" t="n">
        <v>46</v>
      </c>
      <c r="M15" s="12" t="n">
        <v>54</v>
      </c>
      <c r="N15" s="12" t="n">
        <v>62</v>
      </c>
      <c r="O15" s="12" t="n">
        <v>69</v>
      </c>
      <c r="P15" s="12" t="n">
        <v>77</v>
      </c>
      <c r="Q15" s="12"/>
      <c r="R15" s="12"/>
      <c r="S15" s="12"/>
      <c r="T15" s="12"/>
      <c r="U15" s="12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customFormat="false" ht="54" hidden="false" customHeight="true" outlineLevel="0" collapsed="false">
      <c r="A16" s="9" t="s">
        <v>72</v>
      </c>
      <c r="B16" s="10" t="s">
        <v>73</v>
      </c>
      <c r="C16" s="10" t="s">
        <v>74</v>
      </c>
      <c r="D16" s="11" t="n">
        <v>33</v>
      </c>
      <c r="E16" s="11" t="s">
        <v>17</v>
      </c>
      <c r="F16" s="11" t="s">
        <v>29</v>
      </c>
      <c r="G16" s="12" t="n">
        <v>8</v>
      </c>
      <c r="H16" s="12" t="n">
        <v>15</v>
      </c>
      <c r="I16" s="12" t="n">
        <v>23</v>
      </c>
      <c r="J16" s="12" t="n">
        <v>31</v>
      </c>
      <c r="K16" s="12" t="n">
        <v>38</v>
      </c>
      <c r="L16" s="12" t="n">
        <v>46</v>
      </c>
      <c r="M16" s="12" t="n">
        <v>54</v>
      </c>
      <c r="N16" s="12" t="n">
        <v>62</v>
      </c>
      <c r="O16" s="12" t="n">
        <v>69</v>
      </c>
      <c r="P16" s="12" t="n">
        <v>77</v>
      </c>
      <c r="Q16" s="12"/>
      <c r="R16" s="12"/>
      <c r="S16" s="12"/>
      <c r="T16" s="12"/>
      <c r="U16" s="12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customFormat="false" ht="21.75" hidden="false" customHeight="true" outlineLevel="0" collapsed="false">
      <c r="A17" s="8" t="s">
        <v>75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customFormat="false" ht="36" hidden="false" customHeight="true" outlineLevel="0" collapsed="false">
      <c r="A18" s="9" t="s">
        <v>76</v>
      </c>
      <c r="B18" s="10" t="s">
        <v>77</v>
      </c>
      <c r="C18" s="10" t="s">
        <v>51</v>
      </c>
      <c r="D18" s="11" t="n">
        <v>25</v>
      </c>
      <c r="E18" s="11" t="s">
        <v>21</v>
      </c>
      <c r="F18" s="11" t="s">
        <v>26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17</v>
      </c>
      <c r="L18" s="12" t="n">
        <v>33</v>
      </c>
      <c r="M18" s="12" t="n">
        <v>50</v>
      </c>
      <c r="N18" s="12" t="n">
        <v>67</v>
      </c>
      <c r="O18" s="12" t="n">
        <v>83</v>
      </c>
      <c r="P18" s="12" t="n">
        <v>100</v>
      </c>
      <c r="Q18" s="12"/>
      <c r="R18" s="12"/>
      <c r="S18" s="12"/>
      <c r="T18" s="12"/>
      <c r="U18" s="12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customFormat="false" ht="54" hidden="false" customHeight="true" outlineLevel="0" collapsed="false">
      <c r="A19" s="9" t="s">
        <v>78</v>
      </c>
      <c r="B19" s="10" t="s">
        <v>79</v>
      </c>
      <c r="C19" s="10" t="s">
        <v>60</v>
      </c>
      <c r="D19" s="11" t="n">
        <v>25</v>
      </c>
      <c r="E19" s="11" t="s">
        <v>22</v>
      </c>
      <c r="F19" s="11" t="s">
        <v>28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14</v>
      </c>
      <c r="M19" s="12" t="n">
        <v>29</v>
      </c>
      <c r="N19" s="12" t="n">
        <v>43</v>
      </c>
      <c r="O19" s="12" t="n">
        <v>57</v>
      </c>
      <c r="P19" s="12" t="n">
        <v>71</v>
      </c>
      <c r="Q19" s="12"/>
      <c r="R19" s="12"/>
      <c r="S19" s="12"/>
      <c r="T19" s="12"/>
      <c r="U19" s="12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customFormat="false" ht="36" hidden="false" customHeight="true" outlineLevel="0" collapsed="false">
      <c r="A20" s="9" t="s">
        <v>80</v>
      </c>
      <c r="B20" s="10" t="s">
        <v>81</v>
      </c>
      <c r="C20" s="10" t="s">
        <v>82</v>
      </c>
      <c r="D20" s="11" t="n">
        <v>25</v>
      </c>
      <c r="E20" s="11" t="s">
        <v>22</v>
      </c>
      <c r="F20" s="11" t="s">
        <v>28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14</v>
      </c>
      <c r="M20" s="12" t="n">
        <v>29</v>
      </c>
      <c r="N20" s="12" t="n">
        <v>43</v>
      </c>
      <c r="O20" s="12" t="n">
        <v>57</v>
      </c>
      <c r="P20" s="12" t="n">
        <v>71</v>
      </c>
      <c r="Q20" s="12"/>
      <c r="R20" s="12"/>
      <c r="S20" s="12"/>
      <c r="T20" s="12"/>
      <c r="U20" s="12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customFormat="false" ht="36" hidden="false" customHeight="true" outlineLevel="0" collapsed="false">
      <c r="A21" s="9" t="s">
        <v>83</v>
      </c>
      <c r="B21" s="10" t="s">
        <v>84</v>
      </c>
      <c r="C21" s="10" t="s">
        <v>60</v>
      </c>
      <c r="D21" s="11" t="n">
        <v>25</v>
      </c>
      <c r="E21" s="11" t="s">
        <v>26</v>
      </c>
      <c r="F21" s="11" t="s">
        <v>31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17</v>
      </c>
      <c r="Q21" s="12"/>
      <c r="R21" s="12"/>
      <c r="S21" s="12"/>
      <c r="T21" s="12"/>
      <c r="U21" s="12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customFormat="false" ht="21.75" hidden="false" customHeight="true" outlineLevel="0" collapsed="false">
      <c r="A22" s="8" t="s">
        <v>85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customFormat="false" ht="90" hidden="false" customHeight="true" outlineLevel="0" collapsed="false">
      <c r="A23" s="9" t="s">
        <v>86</v>
      </c>
      <c r="B23" s="10" t="s">
        <v>87</v>
      </c>
      <c r="C23" s="10" t="s">
        <v>63</v>
      </c>
      <c r="D23" s="11" t="n">
        <v>50</v>
      </c>
      <c r="E23" s="11" t="s">
        <v>23</v>
      </c>
      <c r="F23" s="11" t="s">
        <v>28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17</v>
      </c>
      <c r="N23" s="12" t="n">
        <v>33</v>
      </c>
      <c r="O23" s="12" t="n">
        <v>50</v>
      </c>
      <c r="P23" s="12" t="n">
        <v>67</v>
      </c>
      <c r="Q23" s="12"/>
      <c r="R23" s="12"/>
      <c r="S23" s="12"/>
      <c r="T23" s="12"/>
      <c r="U23" s="12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customFormat="false" ht="18" hidden="false" customHeight="true" outlineLevel="0" collapsed="false">
      <c r="A24" s="9" t="s">
        <v>88</v>
      </c>
      <c r="B24" s="10" t="s">
        <v>89</v>
      </c>
      <c r="C24" s="10" t="s">
        <v>63</v>
      </c>
      <c r="D24" s="11" t="n">
        <v>50</v>
      </c>
      <c r="E24" s="11" t="s">
        <v>28</v>
      </c>
      <c r="F24" s="11" t="s">
        <v>31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/>
      <c r="R24" s="12"/>
      <c r="S24" s="12"/>
      <c r="T24" s="12"/>
      <c r="U24" s="12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</sheetData>
  <mergeCells count="5">
    <mergeCell ref="A5:AK5"/>
    <mergeCell ref="A9:AK9"/>
    <mergeCell ref="A13:AK13"/>
    <mergeCell ref="A17:AK17"/>
    <mergeCell ref="A22:A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52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false" outlineLevel="0" max="11" min="11" style="1" width="13"/>
    <col collapsed="false" customWidth="true" hidden="true" outlineLevel="0" max="14" min="13" style="1" width="13"/>
  </cols>
  <sheetData>
    <row r="1" customFormat="false" ht="17.25" hidden="false" customHeight="true" outlineLevel="0" collapsed="false">
      <c r="A1" s="13" t="s">
        <v>90</v>
      </c>
      <c r="C1" s="14" t="s">
        <v>26</v>
      </c>
    </row>
    <row r="2" customFormat="false" ht="15" hidden="false" customHeight="true" outlineLevel="0" collapsed="false">
      <c r="A2" s="15" t="s">
        <v>91</v>
      </c>
      <c r="C2" s="16" t="n">
        <f aca="false">MATCH(C1,บันทึกผล!$G$4:$U$4,0)</f>
        <v>10</v>
      </c>
    </row>
    <row r="4" customFormat="false" ht="30" hidden="false" customHeight="true" outlineLevel="0" collapsed="false">
      <c r="A4" s="17" t="s">
        <v>92</v>
      </c>
      <c r="B4" s="17" t="s">
        <v>93</v>
      </c>
      <c r="C4" s="17" t="s">
        <v>12</v>
      </c>
      <c r="D4" s="17" t="s">
        <v>14</v>
      </c>
      <c r="E4" s="17" t="s">
        <v>15</v>
      </c>
      <c r="F4" s="17" t="s">
        <v>16</v>
      </c>
      <c r="G4" s="17" t="s">
        <v>94</v>
      </c>
      <c r="H4" s="17" t="s">
        <v>95</v>
      </c>
      <c r="I4" s="17" t="s">
        <v>96</v>
      </c>
      <c r="J4" s="17" t="s">
        <v>97</v>
      </c>
      <c r="K4" s="17" t="s">
        <v>98</v>
      </c>
    </row>
    <row r="5" customFormat="false" ht="29.25" hidden="false" customHeight="true" outlineLevel="0" collapsed="false">
      <c r="A5" s="18" t="str">
        <f aca="false">LEFT(บันทึกผล!A6,FIND(".",บันทึกผล!A6)-1)</f>
        <v>1</v>
      </c>
      <c r="B5" s="18" t="str">
        <f aca="false">บันทึกผล!A6</f>
        <v>1.1</v>
      </c>
      <c r="C5" s="19" t="str">
        <f aca="false">บันทึกผล!B6</f>
        <v>รวบรวม ศึกษา วิเคราะห์กฎหมาย กฎ ระเบียบที่สำคัญที่เกี่ยวข้องกับการดำเนินงาน</v>
      </c>
      <c r="D5" s="18" t="n">
        <f aca="false">บันทึกผล!D6</f>
        <v>34</v>
      </c>
      <c r="E5" s="18" t="str">
        <f aca="false">บันทึกผล!E6</f>
        <v>ม.ค.69</v>
      </c>
      <c r="F5" s="18" t="str">
        <f aca="false">บันทึกผล!F6</f>
        <v>ม.ค.70</v>
      </c>
      <c r="G5" s="20" t="n">
        <f aca="false">N5-M5+1</f>
        <v>13</v>
      </c>
      <c r="H5" s="20" t="n">
        <f aca="false">IF($C$2&lt;M5,0,IF($C$2&gt;=N5,100,ROUND(($C$2-M5+1)/(N5-M5+1)*100,0)))</f>
        <v>77</v>
      </c>
      <c r="I5" s="20" t="n">
        <f aca="false">IFERROR(LOOKUP(9.99E+307,บันทึกผล!$G6:INDEX(บันทึกผล!$G6:$U6,$C$2)),0)</f>
        <v>77</v>
      </c>
      <c r="J5" s="20" t="n">
        <f aca="false">I5-H5</f>
        <v>0</v>
      </c>
      <c r="K5" s="18" t="str">
        <f aca="false">IF(H5=0,"รอกำหนด",IF(I5&gt;=H5,"ตามแผน",IF(H5-I5&lt;=15,"ใกล้เป้า","ต่ำกว่าเป้า")))</f>
        <v>ตามแผน</v>
      </c>
      <c r="M5" s="1" t="n">
        <f aca="false">MATCH(E5,บันทึกผล!$G$4:$U$4,0)</f>
        <v>1</v>
      </c>
      <c r="N5" s="1" t="n">
        <f aca="false">MATCH(F5,บันทึกผล!$G$4:$U$4,0)</f>
        <v>13</v>
      </c>
    </row>
    <row r="6" customFormat="false" ht="43.5" hidden="false" customHeight="true" outlineLevel="0" collapsed="false">
      <c r="A6" s="18" t="str">
        <f aca="false">LEFT(บันทึกผล!A7,FIND(".",บันทึกผล!A7)-1)</f>
        <v>1</v>
      </c>
      <c r="B6" s="18" t="str">
        <f aca="false">บันทึกผล!A7</f>
        <v>1.2</v>
      </c>
      <c r="C6" s="19" t="str">
        <f aca="false">บันทึกผล!B7</f>
        <v>ปรับปรุงทะเบียนกฎหมาย กฎ ระเบียบที่สำคัญที่เกี่ยวข้องกับการดำเนินงาน (Compliance Universe)</v>
      </c>
      <c r="D6" s="18" t="n">
        <f aca="false">บันทึกผล!D7</f>
        <v>33</v>
      </c>
      <c r="E6" s="18" t="str">
        <f aca="false">บันทึกผล!E7</f>
        <v>ม.ค.69</v>
      </c>
      <c r="F6" s="18" t="str">
        <f aca="false">บันทึกผล!F7</f>
        <v>ธ.ค.69</v>
      </c>
      <c r="G6" s="20" t="n">
        <f aca="false">N6-M6+1</f>
        <v>12</v>
      </c>
      <c r="H6" s="20" t="n">
        <f aca="false">IF($C$2&lt;M6,0,IF($C$2&gt;=N6,100,ROUND(($C$2-M6+1)/(N6-M6+1)*100,0)))</f>
        <v>83</v>
      </c>
      <c r="I6" s="20" t="n">
        <f aca="false">IFERROR(LOOKUP(9.99E+307,บันทึกผล!$G7:INDEX(บันทึกผล!$G7:$U7,$C$2)),0)</f>
        <v>83</v>
      </c>
      <c r="J6" s="20" t="n">
        <f aca="false">I6-H6</f>
        <v>0</v>
      </c>
      <c r="K6" s="18" t="str">
        <f aca="false">IF(H6=0,"รอกำหนด",IF(I6&gt;=H6,"ตามแผน",IF(H6-I6&lt;=15,"ใกล้เป้า","ต่ำกว่าเป้า")))</f>
        <v>ตามแผน</v>
      </c>
      <c r="M6" s="1" t="n">
        <f aca="false">MATCH(E6,บันทึกผล!$G$4:$U$4,0)</f>
        <v>1</v>
      </c>
      <c r="N6" s="1" t="n">
        <f aca="false">MATCH(F6,บันทึกผล!$G$4:$U$4,0)</f>
        <v>12</v>
      </c>
    </row>
    <row r="7" customFormat="false" ht="57.75" hidden="false" customHeight="true" outlineLevel="0" collapsed="false">
      <c r="A7" s="18" t="str">
        <f aca="false">LEFT(บันทึกผล!A8,FIND(".",บันทึกผล!A8)-1)</f>
        <v>1</v>
      </c>
      <c r="B7" s="18" t="str">
        <f aca="false">บันทึกผล!A8</f>
        <v>1.3</v>
      </c>
      <c r="C7" s="19" t="str">
        <f aca="false">บันทึกผล!B8</f>
        <v>ปรับปรุงระเบียบ ข้อบังคับ คำสั่ง นโยบาย มาตรฐานการปฏิบัติงานให้สอดคล้องกับกฎหมาย กฎ ระเบียบที่เกี่ยวข้องที่ปรับปรุงหรือเป็นเรื่องใหม่</v>
      </c>
      <c r="D7" s="18" t="n">
        <f aca="false">บันทึกผล!D8</f>
        <v>33</v>
      </c>
      <c r="E7" s="18" t="str">
        <f aca="false">บันทึกผล!E8</f>
        <v>ม.ค.69</v>
      </c>
      <c r="F7" s="18" t="str">
        <f aca="false">บันทึกผล!F8</f>
        <v>ธ.ค.69</v>
      </c>
      <c r="G7" s="20" t="n">
        <f aca="false">N7-M7+1</f>
        <v>12</v>
      </c>
      <c r="H7" s="20" t="n">
        <f aca="false">IF($C$2&lt;M7,0,IF($C$2&gt;=N7,100,ROUND(($C$2-M7+1)/(N7-M7+1)*100,0)))</f>
        <v>83</v>
      </c>
      <c r="I7" s="20" t="n">
        <f aca="false">IFERROR(LOOKUP(9.99E+307,บันทึกผล!$G8:INDEX(บันทึกผล!$G8:$U8,$C$2)),0)</f>
        <v>83</v>
      </c>
      <c r="J7" s="20" t="n">
        <f aca="false">I7-H7</f>
        <v>0</v>
      </c>
      <c r="K7" s="18" t="str">
        <f aca="false">IF(H7=0,"รอกำหนด",IF(I7&gt;=H7,"ตามแผน",IF(H7-I7&lt;=15,"ใกล้เป้า","ต่ำกว่าเป้า")))</f>
        <v>ตามแผน</v>
      </c>
      <c r="M7" s="1" t="n">
        <f aca="false">MATCH(E7,บันทึกผล!$G$4:$U$4,0)</f>
        <v>1</v>
      </c>
      <c r="N7" s="1" t="n">
        <f aca="false">MATCH(F7,บันทึกผล!$G$4:$U$4,0)</f>
        <v>12</v>
      </c>
    </row>
    <row r="8" customFormat="false" ht="43.5" hidden="false" customHeight="true" outlineLevel="0" collapsed="false">
      <c r="A8" s="18" t="str">
        <f aca="false">LEFT(บันทึกผล!A10,FIND(".",บันทึกผล!A10)-1)</f>
        <v>2</v>
      </c>
      <c r="B8" s="18" t="str">
        <f aca="false">บันทึกผล!A10</f>
        <v>2.1</v>
      </c>
      <c r="C8" s="19" t="str">
        <f aca="false">บันทึกผล!B10</f>
        <v>วิเคราะห์สาเหตุและผลกระทบ และประเมินความเสี่ยงจากการไม่สามารถปฏิบัติตามกฎ ระเบียบ</v>
      </c>
      <c r="D8" s="18" t="n">
        <f aca="false">บันทึกผล!D10</f>
        <v>34</v>
      </c>
      <c r="E8" s="18" t="str">
        <f aca="false">บันทึกผล!E10</f>
        <v>ม.ค.69</v>
      </c>
      <c r="F8" s="18" t="str">
        <f aca="false">บันทึกผล!F10</f>
        <v>ธ.ค.69</v>
      </c>
      <c r="G8" s="20" t="n">
        <f aca="false">N8-M8+1</f>
        <v>12</v>
      </c>
      <c r="H8" s="20" t="n">
        <f aca="false">IF($C$2&lt;M8,0,IF($C$2&gt;=N8,100,ROUND(($C$2-M8+1)/(N8-M8+1)*100,0)))</f>
        <v>83</v>
      </c>
      <c r="I8" s="20" t="n">
        <f aca="false">IFERROR(LOOKUP(9.99E+307,บันทึกผล!$G10:INDEX(บันทึกผล!$G10:$U10,$C$2)),0)</f>
        <v>83</v>
      </c>
      <c r="J8" s="20" t="n">
        <f aca="false">I8-H8</f>
        <v>0</v>
      </c>
      <c r="K8" s="18" t="str">
        <f aca="false">IF(H8=0,"รอกำหนด",IF(I8&gt;=H8,"ตามแผน",IF(H8-I8&lt;=15,"ใกล้เป้า","ต่ำกว่าเป้า")))</f>
        <v>ตามแผน</v>
      </c>
      <c r="M8" s="1" t="n">
        <f aca="false">MATCH(E8,บันทึกผล!$G$4:$U$4,0)</f>
        <v>1</v>
      </c>
      <c r="N8" s="1" t="n">
        <f aca="false">MATCH(F8,บันทึกผล!$G$4:$U$4,0)</f>
        <v>12</v>
      </c>
    </row>
    <row r="9" customFormat="false" ht="29.25" hidden="false" customHeight="true" outlineLevel="0" collapsed="false">
      <c r="A9" s="18" t="str">
        <f aca="false">LEFT(บันทึกผล!A11,FIND(".",บันทึกผล!A11)-1)</f>
        <v>2</v>
      </c>
      <c r="B9" s="18" t="str">
        <f aca="false">บันทึกผล!A11</f>
        <v>2.2</v>
      </c>
      <c r="C9" s="19" t="str">
        <f aca="false">บันทึกผล!B11</f>
        <v>สรุปรายการ Compliance Risk ที่สำคัญที่ต้องกำหนด/ปรับปรุงการควบคุม</v>
      </c>
      <c r="D9" s="18" t="n">
        <f aca="false">บันทึกผล!D11</f>
        <v>33</v>
      </c>
      <c r="E9" s="18" t="str">
        <f aca="false">บันทึกผล!E11</f>
        <v>ม.ค.69</v>
      </c>
      <c r="F9" s="18" t="str">
        <f aca="false">บันทึกผล!F11</f>
        <v>มิ.ย.69</v>
      </c>
      <c r="G9" s="20" t="n">
        <f aca="false">N9-M9+1</f>
        <v>6</v>
      </c>
      <c r="H9" s="20" t="n">
        <f aca="false">IF($C$2&lt;M9,0,IF($C$2&gt;=N9,100,ROUND(($C$2-M9+1)/(N9-M9+1)*100,0)))</f>
        <v>100</v>
      </c>
      <c r="I9" s="20" t="n">
        <f aca="false">IFERROR(LOOKUP(9.99E+307,บันทึกผล!$G11:INDEX(บันทึกผล!$G11:$U11,$C$2)),0)</f>
        <v>100</v>
      </c>
      <c r="J9" s="20" t="n">
        <f aca="false">I9-H9</f>
        <v>0</v>
      </c>
      <c r="K9" s="18" t="str">
        <f aca="false">IF(H9=0,"รอกำหนด",IF(I9&gt;=H9,"ตามแผน",IF(H9-I9&lt;=15,"ใกล้เป้า","ต่ำกว่าเป้า")))</f>
        <v>ตามแผน</v>
      </c>
      <c r="M9" s="1" t="n">
        <f aca="false">MATCH(E9,บันทึกผล!$G$4:$U$4,0)</f>
        <v>1</v>
      </c>
      <c r="N9" s="1" t="n">
        <f aca="false">MATCH(F9,บันทึกผล!$G$4:$U$4,0)</f>
        <v>6</v>
      </c>
    </row>
    <row r="10" customFormat="false" ht="43.5" hidden="false" customHeight="true" outlineLevel="0" collapsed="false">
      <c r="A10" s="18" t="str">
        <f aca="false">LEFT(บันทึกผล!A12,FIND(".",บันทึกผล!A12)-1)</f>
        <v>2</v>
      </c>
      <c r="B10" s="18" t="str">
        <f aca="false">บันทึกผล!A12</f>
        <v>2.3</v>
      </c>
      <c r="C10" s="19" t="str">
        <f aca="false">บันทึกผล!B12</f>
        <v>จัดวาง/ทบทวนระบบการควบคุมภายในของกระบวนงานพื้นฐานและกระบวนงานตามภารกิจของทุกหน่วยงาน</v>
      </c>
      <c r="D10" s="18" t="n">
        <f aca="false">บันทึกผล!D12</f>
        <v>33</v>
      </c>
      <c r="E10" s="18" t="str">
        <f aca="false">บันทึกผล!E12</f>
        <v>ม.ค.69</v>
      </c>
      <c r="F10" s="18" t="str">
        <f aca="false">บันทึกผล!F12</f>
        <v>ธ.ค.69</v>
      </c>
      <c r="G10" s="20" t="n">
        <f aca="false">N10-M10+1</f>
        <v>12</v>
      </c>
      <c r="H10" s="20" t="n">
        <f aca="false">IF($C$2&lt;M10,0,IF($C$2&gt;=N10,100,ROUND(($C$2-M10+1)/(N10-M10+1)*100,0)))</f>
        <v>83</v>
      </c>
      <c r="I10" s="20" t="n">
        <f aca="false">IFERROR(LOOKUP(9.99E+307,บันทึกผล!$G12:INDEX(บันทึกผล!$G12:$U12,$C$2)),0)</f>
        <v>83</v>
      </c>
      <c r="J10" s="20" t="n">
        <f aca="false">I10-H10</f>
        <v>0</v>
      </c>
      <c r="K10" s="18" t="str">
        <f aca="false">IF(H10=0,"รอกำหนด",IF(I10&gt;=H10,"ตามแผน",IF(H10-I10&lt;=15,"ใกล้เป้า","ต่ำกว่าเป้า")))</f>
        <v>ตามแผน</v>
      </c>
      <c r="M10" s="1" t="n">
        <f aca="false">MATCH(E10,บันทึกผล!$G$4:$U$4,0)</f>
        <v>1</v>
      </c>
      <c r="N10" s="1" t="n">
        <f aca="false">MATCH(F10,บันทึกผล!$G$4:$U$4,0)</f>
        <v>12</v>
      </c>
    </row>
    <row r="11" customFormat="false" ht="43.5" hidden="false" customHeight="true" outlineLevel="0" collapsed="false">
      <c r="A11" s="18" t="str">
        <f aca="false">LEFT(บันทึกผล!A14,FIND(".",บันทึกผล!A14)-1)</f>
        <v>3</v>
      </c>
      <c r="B11" s="18" t="str">
        <f aca="false">บันทึกผล!A14</f>
        <v>3.1</v>
      </c>
      <c r="C11" s="19" t="str">
        <f aca="false">บันทึกผล!B14</f>
        <v>สื่อสาร อบรม เพื่อสร้างความรู้ความเข้าใจและความตระหนักเกี่ยวกับนโยบาย กรอบและแนวทางการปฏิบัติตามกฎ ระเบียบ</v>
      </c>
      <c r="D11" s="18" t="n">
        <f aca="false">บันทึกผล!D14</f>
        <v>34</v>
      </c>
      <c r="E11" s="18" t="str">
        <f aca="false">บันทึกผล!E14</f>
        <v>ม.ค.69</v>
      </c>
      <c r="F11" s="18" t="str">
        <f aca="false">บันทึกผล!F14</f>
        <v>ม.ค.70</v>
      </c>
      <c r="G11" s="20" t="n">
        <f aca="false">N11-M11+1</f>
        <v>13</v>
      </c>
      <c r="H11" s="20" t="n">
        <f aca="false">IF($C$2&lt;M11,0,IF($C$2&gt;=N11,100,ROUND(($C$2-M11+1)/(N11-M11+1)*100,0)))</f>
        <v>77</v>
      </c>
      <c r="I11" s="20" t="n">
        <f aca="false">IFERROR(LOOKUP(9.99E+307,บันทึกผล!$G14:INDEX(บันทึกผล!$G14:$U14,$C$2)),0)</f>
        <v>77</v>
      </c>
      <c r="J11" s="20" t="n">
        <f aca="false">I11-H11</f>
        <v>0</v>
      </c>
      <c r="K11" s="18" t="str">
        <f aca="false">IF(H11=0,"รอกำหนด",IF(I11&gt;=H11,"ตามแผน",IF(H11-I11&lt;=15,"ใกล้เป้า","ต่ำกว่าเป้า")))</f>
        <v>ตามแผน</v>
      </c>
      <c r="M11" s="1" t="n">
        <f aca="false">MATCH(E11,บันทึกผล!$G$4:$U$4,0)</f>
        <v>1</v>
      </c>
      <c r="N11" s="1" t="n">
        <f aca="false">MATCH(F11,บันทึกผล!$G$4:$U$4,0)</f>
        <v>13</v>
      </c>
    </row>
    <row r="12" customFormat="false" ht="43.5" hidden="false" customHeight="true" outlineLevel="0" collapsed="false">
      <c r="A12" s="18" t="str">
        <f aca="false">LEFT(บันทึกผล!A15,FIND(".",บันทึกผล!A15)-1)</f>
        <v>3</v>
      </c>
      <c r="B12" s="18" t="str">
        <f aca="false">บันทึกผล!A15</f>
        <v>3.2</v>
      </c>
      <c r="C12" s="19" t="str">
        <f aca="false">บันทึกผล!B15</f>
        <v>สื่อสาร อบรม เกี่ยวกับกฎหมาย กฎ ระเบียบที่เกี่ยวข้องที่ปรับปรุงหรือเป็นเรื่องใหม่</v>
      </c>
      <c r="D12" s="18" t="n">
        <f aca="false">บันทึกผล!D15</f>
        <v>33</v>
      </c>
      <c r="E12" s="18" t="str">
        <f aca="false">บันทึกผล!E15</f>
        <v>ม.ค.69</v>
      </c>
      <c r="F12" s="18" t="str">
        <f aca="false">บันทึกผล!F15</f>
        <v>ม.ค.70</v>
      </c>
      <c r="G12" s="20" t="n">
        <f aca="false">N12-M12+1</f>
        <v>13</v>
      </c>
      <c r="H12" s="20" t="n">
        <f aca="false">IF($C$2&lt;M12,0,IF($C$2&gt;=N12,100,ROUND(($C$2-M12+1)/(N12-M12+1)*100,0)))</f>
        <v>77</v>
      </c>
      <c r="I12" s="20" t="n">
        <f aca="false">IFERROR(LOOKUP(9.99E+307,บันทึกผล!$G15:INDEX(บันทึกผล!$G15:$U15,$C$2)),0)</f>
        <v>77</v>
      </c>
      <c r="J12" s="20" t="n">
        <f aca="false">I12-H12</f>
        <v>0</v>
      </c>
      <c r="K12" s="18" t="str">
        <f aca="false">IF(H12=0,"รอกำหนด",IF(I12&gt;=H12,"ตามแผน",IF(H12-I12&lt;=15,"ใกล้เป้า","ต่ำกว่าเป้า")))</f>
        <v>ตามแผน</v>
      </c>
      <c r="M12" s="1" t="n">
        <f aca="false">MATCH(E12,บันทึกผล!$G$4:$U$4,0)</f>
        <v>1</v>
      </c>
      <c r="N12" s="1" t="n">
        <f aca="false">MATCH(F12,บันทึกผล!$G$4:$U$4,0)</f>
        <v>13</v>
      </c>
    </row>
    <row r="13" customFormat="false" ht="57.75" hidden="false" customHeight="true" outlineLevel="0" collapsed="false">
      <c r="A13" s="18" t="str">
        <f aca="false">LEFT(บันทึกผล!A16,FIND(".",บันทึกผล!A16)-1)</f>
        <v>3</v>
      </c>
      <c r="B13" s="18" t="str">
        <f aca="false">บันทึกผล!A16</f>
        <v>3.3</v>
      </c>
      <c r="C13" s="19" t="str">
        <f aca="false">บันทึกผล!B16</f>
        <v>ประสานงาน ให้คำปรึกษาแนะนำหน่วยงาน เพื่อทบทวนการดำเนินงานให้สอดคล้องกับกฎหมาย กฎ ระเบียบที่เกี่ยวข้องที่ปรับปรุงหรือเป็นเรื่องใหม่</v>
      </c>
      <c r="D13" s="18" t="n">
        <f aca="false">บันทึกผล!D16</f>
        <v>33</v>
      </c>
      <c r="E13" s="18" t="str">
        <f aca="false">บันทึกผล!E16</f>
        <v>ม.ค.69</v>
      </c>
      <c r="F13" s="18" t="str">
        <f aca="false">บันทึกผล!F16</f>
        <v>ม.ค.70</v>
      </c>
      <c r="G13" s="20" t="n">
        <f aca="false">N13-M13+1</f>
        <v>13</v>
      </c>
      <c r="H13" s="20" t="n">
        <f aca="false">IF($C$2&lt;M13,0,IF($C$2&gt;=N13,100,ROUND(($C$2-M13+1)/(N13-M13+1)*100,0)))</f>
        <v>77</v>
      </c>
      <c r="I13" s="20" t="n">
        <f aca="false">IFERROR(LOOKUP(9.99E+307,บันทึกผล!$G16:INDEX(บันทึกผล!$G16:$U16,$C$2)),0)</f>
        <v>77</v>
      </c>
      <c r="J13" s="20" t="n">
        <f aca="false">I13-H13</f>
        <v>0</v>
      </c>
      <c r="K13" s="18" t="str">
        <f aca="false">IF(H13=0,"รอกำหนด",IF(I13&gt;=H13,"ตามแผน",IF(H13-I13&lt;=15,"ใกล้เป้า","ต่ำกว่าเป้า")))</f>
        <v>ตามแผน</v>
      </c>
      <c r="M13" s="1" t="n">
        <f aca="false">MATCH(E13,บันทึกผล!$G$4:$U$4,0)</f>
        <v>1</v>
      </c>
      <c r="N13" s="1" t="n">
        <f aca="false">MATCH(F13,บันทึกผล!$G$4:$U$4,0)</f>
        <v>13</v>
      </c>
    </row>
    <row r="14" customFormat="false" ht="43.5" hidden="false" customHeight="true" outlineLevel="0" collapsed="false">
      <c r="A14" s="18" t="str">
        <f aca="false">LEFT(บันทึกผล!A18,FIND(".",บันทึกผล!A18)-1)</f>
        <v>4</v>
      </c>
      <c r="B14" s="18" t="str">
        <f aca="false">บันทึกผล!A18</f>
        <v>4.1</v>
      </c>
      <c r="C14" s="19" t="str">
        <f aca="false">บันทึกผล!B18</f>
        <v>สอบทานการปฏิบัติตามกฎระเบียบด้วยตนเองในทุกกระบวนงานที่ได้จัดวางระบบการควบคุมภายในไว้</v>
      </c>
      <c r="D14" s="18" t="n">
        <f aca="false">บันทึกผล!D18</f>
        <v>25</v>
      </c>
      <c r="E14" s="18" t="str">
        <f aca="false">บันทึกผล!E18</f>
        <v>พ.ค.69</v>
      </c>
      <c r="F14" s="18" t="str">
        <f aca="false">บันทึกผล!F18</f>
        <v>ต.ค.69</v>
      </c>
      <c r="G14" s="20" t="n">
        <f aca="false">N14-M14+1</f>
        <v>6</v>
      </c>
      <c r="H14" s="20" t="n">
        <f aca="false">IF($C$2&lt;M14,0,IF($C$2&gt;=N14,100,ROUND(($C$2-M14+1)/(N14-M14+1)*100,0)))</f>
        <v>100</v>
      </c>
      <c r="I14" s="20" t="n">
        <f aca="false">IFERROR(LOOKUP(9.99E+307,บันทึกผล!$G18:INDEX(บันทึกผล!$G18:$U18,$C$2)),0)</f>
        <v>100</v>
      </c>
      <c r="J14" s="20" t="n">
        <f aca="false">I14-H14</f>
        <v>0</v>
      </c>
      <c r="K14" s="18" t="str">
        <f aca="false">IF(H14=0,"รอกำหนด",IF(I14&gt;=H14,"ตามแผน",IF(H14-I14&lt;=15,"ใกล้เป้า","ต่ำกว่าเป้า")))</f>
        <v>ตามแผน</v>
      </c>
      <c r="M14" s="1" t="n">
        <f aca="false">MATCH(E14,บันทึกผล!$G$4:$U$4,0)</f>
        <v>5</v>
      </c>
      <c r="N14" s="1" t="n">
        <f aca="false">MATCH(F14,บันทึกผล!$G$4:$U$4,0)</f>
        <v>10</v>
      </c>
    </row>
    <row r="15" customFormat="false" ht="57.75" hidden="false" customHeight="true" outlineLevel="0" collapsed="false">
      <c r="A15" s="18" t="str">
        <f aca="false">LEFT(บันทึกผล!A19,FIND(".",บันทึกผล!A19)-1)</f>
        <v>4</v>
      </c>
      <c r="B15" s="18" t="str">
        <f aca="false">บันทึกผล!A19</f>
        <v>4.2</v>
      </c>
      <c r="C15" s="19" t="str">
        <f aca="false">บันทึกผล!B19</f>
        <v>สอบทานการปฏิบัติตามกฎระเบียบในกระบวนการปฏิบัติงานที่มีความเสี่ยงที่อาจทำให้ไม่สามารถปฏิบัติตามกฎ ระเบียบ และสรุปรายงานผลการสอบทานฯ</v>
      </c>
      <c r="D15" s="18" t="n">
        <f aca="false">บันทึกผล!D19</f>
        <v>25</v>
      </c>
      <c r="E15" s="18" t="str">
        <f aca="false">บันทึกผล!E19</f>
        <v>มิ.ย.69</v>
      </c>
      <c r="F15" s="18" t="str">
        <f aca="false">บันทึกผล!F19</f>
        <v>ธ.ค.69</v>
      </c>
      <c r="G15" s="20" t="n">
        <f aca="false">N15-M15+1</f>
        <v>7</v>
      </c>
      <c r="H15" s="20" t="n">
        <f aca="false">IF($C$2&lt;M15,0,IF($C$2&gt;=N15,100,ROUND(($C$2-M15+1)/(N15-M15+1)*100,0)))</f>
        <v>71</v>
      </c>
      <c r="I15" s="20" t="n">
        <f aca="false">IFERROR(LOOKUP(9.99E+307,บันทึกผล!$G19:INDEX(บันทึกผล!$G19:$U19,$C$2)),0)</f>
        <v>71</v>
      </c>
      <c r="J15" s="20" t="n">
        <f aca="false">I15-H15</f>
        <v>0</v>
      </c>
      <c r="K15" s="18" t="str">
        <f aca="false">IF(H15=0,"รอกำหนด",IF(I15&gt;=H15,"ตามแผน",IF(H15-I15&lt;=15,"ใกล้เป้า","ต่ำกว่าเป้า")))</f>
        <v>ตามแผน</v>
      </c>
      <c r="M15" s="1" t="n">
        <f aca="false">MATCH(E15,บันทึกผล!$G$4:$U$4,0)</f>
        <v>6</v>
      </c>
      <c r="N15" s="1" t="n">
        <f aca="false">MATCH(F15,บันทึกผล!$G$4:$U$4,0)</f>
        <v>12</v>
      </c>
    </row>
    <row r="16" customFormat="false" ht="29.25" hidden="false" customHeight="true" outlineLevel="0" collapsed="false">
      <c r="A16" s="18" t="str">
        <f aca="false">LEFT(บันทึกผล!A20,FIND(".",บันทึกผล!A20)-1)</f>
        <v>4</v>
      </c>
      <c r="B16" s="18" t="str">
        <f aca="false">บันทึกผล!A20</f>
        <v>4.3</v>
      </c>
      <c r="C16" s="19" t="str">
        <f aca="false">บันทึกผล!B20</f>
        <v>ประเมินการปฏิบัติตามกฎระเบียบด้วยตนเอง (Compliance Self-Assessment)</v>
      </c>
      <c r="D16" s="18" t="n">
        <f aca="false">บันทึกผล!D20</f>
        <v>25</v>
      </c>
      <c r="E16" s="18" t="str">
        <f aca="false">บันทึกผล!E20</f>
        <v>มิ.ย.69</v>
      </c>
      <c r="F16" s="18" t="str">
        <f aca="false">บันทึกผล!F20</f>
        <v>ธ.ค.69</v>
      </c>
      <c r="G16" s="20" t="n">
        <f aca="false">N16-M16+1</f>
        <v>7</v>
      </c>
      <c r="H16" s="20" t="n">
        <f aca="false">IF($C$2&lt;M16,0,IF($C$2&gt;=N16,100,ROUND(($C$2-M16+1)/(N16-M16+1)*100,0)))</f>
        <v>71</v>
      </c>
      <c r="I16" s="20" t="n">
        <f aca="false">IFERROR(LOOKUP(9.99E+307,บันทึกผล!$G20:INDEX(บันทึกผล!$G20:$U20,$C$2)),0)</f>
        <v>71</v>
      </c>
      <c r="J16" s="20" t="n">
        <f aca="false">I16-H16</f>
        <v>0</v>
      </c>
      <c r="K16" s="18" t="str">
        <f aca="false">IF(H16=0,"รอกำหนด",IF(I16&gt;=H16,"ตามแผน",IF(H16-I16&lt;=15,"ใกล้เป้า","ต่ำกว่าเป้า")))</f>
        <v>ตามแผน</v>
      </c>
      <c r="M16" s="1" t="n">
        <f aca="false">MATCH(E16,บันทึกผล!$G$4:$U$4,0)</f>
        <v>6</v>
      </c>
      <c r="N16" s="1" t="n">
        <f aca="false">MATCH(F16,บันทึกผล!$G$4:$U$4,0)</f>
        <v>12</v>
      </c>
    </row>
    <row r="17" customFormat="false" ht="29.25" hidden="false" customHeight="true" outlineLevel="0" collapsed="false">
      <c r="A17" s="18" t="str">
        <f aca="false">LEFT(บันทึกผล!A21,FIND(".",บันทึกผล!A21)-1)</f>
        <v>4</v>
      </c>
      <c r="B17" s="18" t="str">
        <f aca="false">บันทึกผล!A21</f>
        <v>4.4</v>
      </c>
      <c r="C17" s="19" t="str">
        <f aca="false">บันทึกผล!B21</f>
        <v>นำผลประเมินมาปรับปรุงการปฏิบัติงานเพื่อให้เป็นไปตามกฎหมาย กฎ ระเบียบ</v>
      </c>
      <c r="D17" s="18" t="n">
        <f aca="false">บันทึกผล!D21</f>
        <v>25</v>
      </c>
      <c r="E17" s="18" t="str">
        <f aca="false">บันทึกผล!E21</f>
        <v>ต.ค.69</v>
      </c>
      <c r="F17" s="18" t="str">
        <f aca="false">บันทึกผล!F21</f>
        <v>มี.ค.70</v>
      </c>
      <c r="G17" s="20" t="n">
        <f aca="false">N17-M17+1</f>
        <v>6</v>
      </c>
      <c r="H17" s="20" t="n">
        <f aca="false">IF($C$2&lt;M17,0,IF($C$2&gt;=N17,100,ROUND(($C$2-M17+1)/(N17-M17+1)*100,0)))</f>
        <v>17</v>
      </c>
      <c r="I17" s="20" t="n">
        <f aca="false">IFERROR(LOOKUP(9.99E+307,บันทึกผล!$G21:INDEX(บันทึกผล!$G21:$U21,$C$2)),0)</f>
        <v>17</v>
      </c>
      <c r="J17" s="20" t="n">
        <f aca="false">I17-H17</f>
        <v>0</v>
      </c>
      <c r="K17" s="18" t="str">
        <f aca="false">IF(H17=0,"รอกำหนด",IF(I17&gt;=H17,"ตามแผน",IF(H17-I17&lt;=15,"ใกล้เป้า","ต่ำกว่าเป้า")))</f>
        <v>ตามแผน</v>
      </c>
      <c r="M17" s="1" t="n">
        <f aca="false">MATCH(E17,บันทึกผล!$G$4:$U$4,0)</f>
        <v>10</v>
      </c>
      <c r="N17" s="1" t="n">
        <f aca="false">MATCH(F17,บันทึกผล!$G$4:$U$4,0)</f>
        <v>15</v>
      </c>
    </row>
    <row r="18" customFormat="false" ht="86.25" hidden="false" customHeight="true" outlineLevel="0" collapsed="false">
      <c r="A18" s="18" t="str">
        <f aca="false">LEFT(บันทึกผล!A23,FIND(".",บันทึกผล!A23)-1)</f>
        <v>5</v>
      </c>
      <c r="B18" s="18" t="str">
        <f aca="false">บันทึกผล!A23</f>
        <v>5.1</v>
      </c>
      <c r="C18" s="19" t="str">
        <f aca="false">บันทึกผล!B23</f>
        <v>ทบทวน/ปรับปรุงนโยบาย กรอบแนวทางการกำกับดูแล และแนวทางการปฏิบัติตามกฎ ระเบียบ ของ กฟน. (Compliance Policy, Framework and Guidance) รวมทั้งแผนการกำกับดูแลฯ เสนอต่อคณะกรรมการที่เกี่ยวข้อง</v>
      </c>
      <c r="D18" s="18" t="n">
        <f aca="false">บันทึกผล!D23</f>
        <v>50</v>
      </c>
      <c r="E18" s="18" t="str">
        <f aca="false">บันทึกผล!E23</f>
        <v>ก.ค.69</v>
      </c>
      <c r="F18" s="18" t="str">
        <f aca="false">บันทึกผล!F23</f>
        <v>ธ.ค.69</v>
      </c>
      <c r="G18" s="20" t="n">
        <f aca="false">N18-M18+1</f>
        <v>6</v>
      </c>
      <c r="H18" s="20" t="n">
        <f aca="false">IF($C$2&lt;M18,0,IF($C$2&gt;=N18,100,ROUND(($C$2-M18+1)/(N18-M18+1)*100,0)))</f>
        <v>67</v>
      </c>
      <c r="I18" s="20" t="n">
        <f aca="false">IFERROR(LOOKUP(9.99E+307,บันทึกผล!$G23:INDEX(บันทึกผล!$G23:$U23,$C$2)),0)</f>
        <v>67</v>
      </c>
      <c r="J18" s="20" t="n">
        <f aca="false">I18-H18</f>
        <v>0</v>
      </c>
      <c r="K18" s="18" t="str">
        <f aca="false">IF(H18=0,"รอกำหนด",IF(I18&gt;=H18,"ตามแผน",IF(H18-I18&lt;=15,"ใกล้เป้า","ต่ำกว่าเป้า")))</f>
        <v>ตามแผน</v>
      </c>
      <c r="M18" s="1" t="n">
        <f aca="false">MATCH(E18,บันทึกผล!$G$4:$U$4,0)</f>
        <v>7</v>
      </c>
      <c r="N18" s="1" t="n">
        <f aca="false">MATCH(F18,บันทึกผล!$G$4:$U$4,0)</f>
        <v>12</v>
      </c>
    </row>
    <row r="19" customFormat="false" ht="29.25" hidden="false" customHeight="true" outlineLevel="0" collapsed="false">
      <c r="A19" s="18" t="str">
        <f aca="false">LEFT(บันทึกผล!A24,FIND(".",บันทึกผล!A24)-1)</f>
        <v>5</v>
      </c>
      <c r="B19" s="18" t="str">
        <f aca="false">บันทึกผล!A24</f>
        <v>5.2</v>
      </c>
      <c r="C19" s="19" t="str">
        <f aca="false">บันทึกผล!B24</f>
        <v>จัดทำและรายงานการปฏิบัติตามกฎระเบียบ ประจำปี</v>
      </c>
      <c r="D19" s="18" t="n">
        <f aca="false">บันทึกผล!D24</f>
        <v>50</v>
      </c>
      <c r="E19" s="18" t="str">
        <f aca="false">บันทึกผล!E24</f>
        <v>ธ.ค.69</v>
      </c>
      <c r="F19" s="18" t="str">
        <f aca="false">บันทึกผล!F24</f>
        <v>มี.ค.70</v>
      </c>
      <c r="G19" s="20" t="n">
        <f aca="false">N19-M19+1</f>
        <v>4</v>
      </c>
      <c r="H19" s="20" t="n">
        <f aca="false">IF($C$2&lt;M19,0,IF($C$2&gt;=N19,100,ROUND(($C$2-M19+1)/(N19-M19+1)*100,0)))</f>
        <v>0</v>
      </c>
      <c r="I19" s="20" t="n">
        <f aca="false">IFERROR(LOOKUP(9.99E+307,บันทึกผล!$G24:INDEX(บันทึกผล!$G24:$U24,$C$2)),0)</f>
        <v>0</v>
      </c>
      <c r="J19" s="20" t="n">
        <f aca="false">I19-H19</f>
        <v>0</v>
      </c>
      <c r="K19" s="18" t="str">
        <f aca="false">IF(H19=0,"รอกำหนด",IF(I19&gt;=H19,"ตามแผน",IF(H19-I19&lt;=15,"ใกล้เป้า","ต่ำกว่าเป้า")))</f>
        <v>รอกำหนด</v>
      </c>
      <c r="M19" s="1" t="n">
        <f aca="false">MATCH(E19,บันทึกผล!$G$4:$U$4,0)</f>
        <v>12</v>
      </c>
      <c r="N19" s="1" t="n">
        <f aca="false">MATCH(F19,บันทึกผล!$G$4:$U$4,0)</f>
        <v>15</v>
      </c>
    </row>
    <row r="21" customFormat="false" ht="15.75" hidden="false" customHeight="true" outlineLevel="0" collapsed="false">
      <c r="A21" s="21" t="s">
        <v>99</v>
      </c>
    </row>
    <row r="22" customFormat="false" ht="15" hidden="false" customHeight="true" outlineLevel="0" collapsed="false">
      <c r="A22" s="22" t="s">
        <v>100</v>
      </c>
      <c r="B22" s="22" t="s">
        <v>95</v>
      </c>
      <c r="C22" s="22" t="s">
        <v>96</v>
      </c>
      <c r="D22" s="22" t="s">
        <v>97</v>
      </c>
      <c r="E22" s="22" t="s">
        <v>98</v>
      </c>
    </row>
    <row r="23" customFormat="false" ht="15" hidden="false" customHeight="true" outlineLevel="0" collapsed="false">
      <c r="A23" s="23" t="n">
        <v>1</v>
      </c>
      <c r="B23" s="24" t="n">
        <f aca="false">ROUND(SUMPRODUCT(($A$5:$A$19="1")*$D$5:$D$19*$H$5:$H$19)/SUMPRODUCT(($A$5:$A$19="1")*$D$5:$D$19),0)</f>
        <v>81</v>
      </c>
      <c r="C23" s="24" t="n">
        <f aca="false">ROUND(SUMPRODUCT(($A$5:$A$19="1")*$D$5:$D$19*$I$5:$I$19)/SUMPRODUCT(($A$5:$A$19="1")*$D$5:$D$19),0)</f>
        <v>81</v>
      </c>
      <c r="D23" s="24" t="n">
        <f aca="false">C23-B23</f>
        <v>0</v>
      </c>
      <c r="E23" s="23" t="str">
        <f aca="false">IF(B23=0,"รอกำหนด",IF(C23&gt;=B23,"ตามแผน",IF(B23-C23&lt;=15,"ใกล้เป้า","ต่ำกว่าเป้า")))</f>
        <v>ตามแผน</v>
      </c>
    </row>
    <row r="24" customFormat="false" ht="15" hidden="false" customHeight="true" outlineLevel="0" collapsed="false">
      <c r="A24" s="23" t="n">
        <v>2</v>
      </c>
      <c r="B24" s="24" t="n">
        <f aca="false">ROUND(SUMPRODUCT(($A$5:$A$19="2")*$D$5:$D$19*$H$5:$H$19)/SUMPRODUCT(($A$5:$A$19="2")*$D$5:$D$19),0)</f>
        <v>89</v>
      </c>
      <c r="C24" s="24" t="n">
        <f aca="false">ROUND(SUMPRODUCT(($A$5:$A$19="2")*$D$5:$D$19*$I$5:$I$19)/SUMPRODUCT(($A$5:$A$19="2")*$D$5:$D$19),0)</f>
        <v>89</v>
      </c>
      <c r="D24" s="24" t="n">
        <f aca="false">C24-B24</f>
        <v>0</v>
      </c>
      <c r="E24" s="23" t="str">
        <f aca="false">IF(B24=0,"รอกำหนด",IF(C24&gt;=B24,"ตามแผน",IF(B24-C24&lt;=15,"ใกล้เป้า","ต่ำกว่าเป้า")))</f>
        <v>ตามแผน</v>
      </c>
    </row>
    <row r="25" customFormat="false" ht="15" hidden="false" customHeight="true" outlineLevel="0" collapsed="false">
      <c r="A25" s="23" t="n">
        <v>3</v>
      </c>
      <c r="B25" s="24" t="n">
        <f aca="false">ROUND(SUMPRODUCT(($A$5:$A$19="3")*$D$5:$D$19*$H$5:$H$19)/SUMPRODUCT(($A$5:$A$19="3")*$D$5:$D$19),0)</f>
        <v>77</v>
      </c>
      <c r="C25" s="24" t="n">
        <f aca="false">ROUND(SUMPRODUCT(($A$5:$A$19="3")*$D$5:$D$19*$I$5:$I$19)/SUMPRODUCT(($A$5:$A$19="3")*$D$5:$D$19),0)</f>
        <v>77</v>
      </c>
      <c r="D25" s="24" t="n">
        <f aca="false">C25-B25</f>
        <v>0</v>
      </c>
      <c r="E25" s="23" t="str">
        <f aca="false">IF(B25=0,"รอกำหนด",IF(C25&gt;=B25,"ตามแผน",IF(B25-C25&lt;=15,"ใกล้เป้า","ต่ำกว่าเป้า")))</f>
        <v>ตามแผน</v>
      </c>
    </row>
    <row r="26" customFormat="false" ht="15" hidden="false" customHeight="true" outlineLevel="0" collapsed="false">
      <c r="A26" s="23" t="n">
        <v>4</v>
      </c>
      <c r="B26" s="24" t="n">
        <f aca="false">ROUND(SUMPRODUCT(($A$5:$A$19="4")*$D$5:$D$19*$H$5:$H$19)/SUMPRODUCT(($A$5:$A$19="4")*$D$5:$D$19),0)</f>
        <v>65</v>
      </c>
      <c r="C26" s="24" t="n">
        <f aca="false">ROUND(SUMPRODUCT(($A$5:$A$19="4")*$D$5:$D$19*$I$5:$I$19)/SUMPRODUCT(($A$5:$A$19="4")*$D$5:$D$19),0)</f>
        <v>65</v>
      </c>
      <c r="D26" s="24" t="n">
        <f aca="false">C26-B26</f>
        <v>0</v>
      </c>
      <c r="E26" s="23" t="str">
        <f aca="false">IF(B26=0,"รอกำหนด",IF(C26&gt;=B26,"ตามแผน",IF(B26-C26&lt;=15,"ใกล้เป้า","ต่ำกว่าเป้า")))</f>
        <v>ตามแผน</v>
      </c>
    </row>
    <row r="27" customFormat="false" ht="15" hidden="false" customHeight="true" outlineLevel="0" collapsed="false">
      <c r="A27" s="23" t="n">
        <v>5</v>
      </c>
      <c r="B27" s="24" t="n">
        <f aca="false">ROUND(SUMPRODUCT(($A$5:$A$19="5")*$D$5:$D$19*$H$5:$H$19)/SUMPRODUCT(($A$5:$A$19="5")*$D$5:$D$19),0)</f>
        <v>34</v>
      </c>
      <c r="C27" s="24" t="n">
        <f aca="false">ROUND(SUMPRODUCT(($A$5:$A$19="5")*$D$5:$D$19*$I$5:$I$19)/SUMPRODUCT(($A$5:$A$19="5")*$D$5:$D$19),0)</f>
        <v>34</v>
      </c>
      <c r="D27" s="24" t="n">
        <f aca="false">C27-B27</f>
        <v>0</v>
      </c>
      <c r="E27" s="23" t="str">
        <f aca="false">IF(B27=0,"รอกำหนด",IF(C27&gt;=B27,"ตามแผน",IF(B27-C27&lt;=15,"ใกล้เป้า","ต่ำกว่าเป้า")))</f>
        <v>ตามแผน</v>
      </c>
    </row>
    <row r="28" customFormat="false" ht="15" hidden="false" customHeight="true" outlineLevel="0" collapsed="false">
      <c r="A28" s="25" t="s">
        <v>101</v>
      </c>
      <c r="B28" s="26" t="n">
        <f aca="false">ROUND(SUMPRODUCT($D$5:$D$19,$H$5:$H$19)/SUM($D$5:$D$19),0)</f>
        <v>69</v>
      </c>
      <c r="C28" s="26" t="n">
        <f aca="false">ROUND(SUMPRODUCT($D$5:$D$19,$I$5:$I$19)/SUM($D$5:$D$19),0)</f>
        <v>69</v>
      </c>
      <c r="D28" s="26" t="n">
        <f aca="false">C28-B28</f>
        <v>0</v>
      </c>
    </row>
  </sheetData>
  <dataValidations count="1">
    <dataValidation allowBlank="false" errorStyle="stop" operator="between" showDropDown="false" showErrorMessage="false" showInputMessage="false" sqref="C1" type="list">
      <formula1>"ม.ค.69,ก.พ.69,มี.ค.69,เม.ย.69,พ.ค.69,มิ.ย.69,ก.ค.69,ส.ค.69,ก.ย.69,ต.ค.69,พ.ย.69,ธ.ค.69,ม.ค.70,ก.พ.70,มี.ค.70"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2026-06-23T14:10:18Z</dcterms:created>
  <dc:creator>openpyxl</dc:creator>
  <dc:description/>
  <dc:language>en-US</dc:language>
  <cp:lastModifiedBy>จิรภัทร นันทะเลขา</cp:lastModifiedBy>
  <dcterms:modified xsi:type="dcterms:W3CDTF">2026-10-30T01:52:37Z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